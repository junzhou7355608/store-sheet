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采购明细" sheetId="2" r:id="rId2"/>
    <sheet name="月度利润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商品名称</v>
      </c>
      <c r="C1" t="str">
        <v>销量</v>
      </c>
      <c r="D1" t="str">
        <v>售价</v>
      </c>
      <c r="E1" t="str">
        <v>销售额</v>
      </c>
    </row>
    <row r="2">
      <c r="A2" s="1" t="str">
        <v>2026-01-29</v>
      </c>
      <c r="B2" t="str">
        <v>草莓蛋糕</v>
      </c>
      <c r="C2">
        <v>12</v>
      </c>
      <c r="D2">
        <v>40</v>
      </c>
      <c r="E2" s="2">
        <f>C2*D2</f>
        <v>480</v>
      </c>
    </row>
    <row r="3">
      <c r="A3" s="1" t="str">
        <v>2026-01-28</v>
      </c>
      <c r="B3" t="str">
        <v>蓝莓蛋糕</v>
      </c>
      <c r="C3">
        <v>8</v>
      </c>
      <c r="D3">
        <v>40</v>
      </c>
      <c r="E3" s="2">
        <f>C3*D3</f>
        <v>320</v>
      </c>
    </row>
    <row r="4">
      <c r="A4" s="1" t="str">
        <v>2026-01-25</v>
      </c>
      <c r="B4" t="str">
        <v>芭乐蛋糕</v>
      </c>
      <c r="C4">
        <v>10</v>
      </c>
      <c r="D4">
        <v>46</v>
      </c>
      <c r="E4" s="2">
        <f>C4*D4</f>
        <v>460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日期</v>
      </c>
      <c r="B1" t="str">
        <v>品名</v>
      </c>
      <c r="C1" t="str">
        <v>数量</v>
      </c>
      <c r="D1" t="str">
        <v>单位</v>
      </c>
      <c r="E1" t="str">
        <v>单价</v>
      </c>
      <c r="F1" t="str">
        <v>金额</v>
      </c>
    </row>
    <row r="2">
      <c r="A2" s="1" t="str">
        <v>2026-01-29</v>
      </c>
      <c r="B2" t="str">
        <v>鸡蛋</v>
      </c>
      <c r="C2">
        <v>1</v>
      </c>
      <c r="D2" t="str">
        <v>件</v>
      </c>
      <c r="E2">
        <v>200</v>
      </c>
      <c r="F2" s="2">
        <f>C2*E2</f>
        <v>200</v>
      </c>
    </row>
    <row r="3">
      <c r="A3" s="1" t="str">
        <v>2026-01-28</v>
      </c>
      <c r="B3" t="str">
        <v>奶油</v>
      </c>
      <c r="C3">
        <v>1</v>
      </c>
      <c r="D3" t="str">
        <v>件</v>
      </c>
      <c r="E3">
        <v>600</v>
      </c>
      <c r="F3" s="2">
        <f>C3*E3</f>
        <v>600</v>
      </c>
    </row>
    <row r="4">
      <c r="A4" s="1" t="str">
        <v>2026-01-29</v>
      </c>
      <c r="B4" t="str">
        <v>蛋糕盒</v>
      </c>
      <c r="C4">
        <v>5</v>
      </c>
      <c r="D4" t="str">
        <v>箱</v>
      </c>
      <c r="E4">
        <v>50</v>
      </c>
      <c r="F4" s="2">
        <f>C4*E4</f>
        <v>250</v>
      </c>
    </row>
    <row r="5">
      <c r="A5" s="1" t="str">
        <v>2026-01-25</v>
      </c>
      <c r="B5" t="str">
        <v>蛋糕盒</v>
      </c>
      <c r="C5">
        <v>5</v>
      </c>
      <c r="D5" t="str">
        <v>箱</v>
      </c>
      <c r="E5">
        <v>50</v>
      </c>
      <c r="F5" s="2">
        <f>C5*E5</f>
        <v>250</v>
      </c>
    </row>
    <row r="6">
      <c r="A6" s="1" t="str">
        <v>2026-01-28</v>
      </c>
      <c r="B6" t="str">
        <v>叉子</v>
      </c>
      <c r="C6">
        <v>5</v>
      </c>
      <c r="D6" t="str">
        <v>箱</v>
      </c>
      <c r="E6">
        <v>10</v>
      </c>
      <c r="F6" s="2">
        <f>C6*E6</f>
        <v>50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月份</v>
      </c>
      <c r="B1" t="str">
        <v>销售收入</v>
      </c>
      <c r="C1" t="str">
        <v>销售成本</v>
      </c>
      <c r="D1" t="str">
        <v>毛利</v>
      </c>
      <c r="E1" t="str">
        <v>毛利率%</v>
      </c>
      <c r="F1" t="str">
        <v>租金</v>
      </c>
      <c r="G1" t="str">
        <v>水电</v>
      </c>
      <c r="H1" t="str">
        <v>人工</v>
      </c>
      <c r="I1" t="str">
        <v>推广</v>
      </c>
      <c r="J1" t="str">
        <v>其他费用</v>
      </c>
      <c r="K1" t="str">
        <v>总费用</v>
      </c>
      <c r="L1" t="str">
        <v>净利润</v>
      </c>
      <c r="M1" t="str">
        <v>利润率%</v>
      </c>
    </row>
    <row r="2">
      <c r="A2" s="1" t="str">
        <v>2026-01</v>
      </c>
      <c r="B2" s="2">
        <f>SUMPRODUCT((TEXT(销售明细!$A$2:$A$4,"YYYY-MM")=A2)*销售明细!$E$2:$E$4)</f>
        <v>1260</v>
      </c>
      <c r="C2" s="2">
        <f>SUMPRODUCT((TEXT(采购明细!$A$2:$A$6,"YYYY-MM")=A2)*采购明细!$F$2:$F$6)</f>
        <v>1350</v>
      </c>
      <c r="D2" s="2">
        <f>B2-C2</f>
        <v>-90</v>
      </c>
      <c r="E2" s="3">
        <f>D2/B2</f>
        <v>0</v>
      </c>
      <c r="F2">
        <v>2500</v>
      </c>
      <c r="G2">
        <v>500</v>
      </c>
      <c r="H2">
        <v>10000</v>
      </c>
      <c r="I2">
        <v>0</v>
      </c>
      <c r="J2">
        <v>0</v>
      </c>
      <c r="K2" s="2">
        <f>F2+G2+H2+I2+J2</f>
        <v>13000</v>
      </c>
      <c r="L2" s="2">
        <f>D2-K2</f>
        <v>-13090</v>
      </c>
      <c r="M2" s="3">
        <f>L2/B2</f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采购明细</vt:lpstr>
      <vt:lpstr>月度利润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